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da5f8949d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45f499108744177"/>
    <x:sheet xmlns:r="http://schemas.openxmlformats.org/officeDocument/2006/relationships" name="Premissas" sheetId="2" r:id="R61e0bed62abd47bb"/>
    <x:sheet xmlns:r="http://schemas.openxmlformats.org/officeDocument/2006/relationships" name="Receitas" sheetId="3" r:id="Rce2cceae30c14630"/>
    <x:sheet xmlns:r="http://schemas.openxmlformats.org/officeDocument/2006/relationships" name="Gastos" sheetId="4" r:id="R4d15cc1b0e514ae1"/>
    <x:sheet xmlns:r="http://schemas.openxmlformats.org/officeDocument/2006/relationships" name="Influenciadores" sheetId="5" r:id="R16719655247a4f3b"/>
    <x:sheet xmlns:r="http://schemas.openxmlformats.org/officeDocument/2006/relationships" name="Cenarios" sheetId="6" r:id="R09fa94affd2a474f"/>
    <x:sheet xmlns:r="http://schemas.openxmlformats.org/officeDocument/2006/relationships" name="Checagens" sheetId="7" r:id="Re1613e9d5b144dcf"/>
    <x:sheet xmlns:r="http://schemas.openxmlformats.org/officeDocument/2006/relationships" name="Fontes" sheetId="8" r:id="Rfa9abbcfd926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;[Red](R$ #,##0);-"/>
    <x:numFmt numFmtId="201" formatCode="#,##0"/>
    <x:numFmt numFmtId="202" formatCode="0.0%;[Red](0.0%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978F87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211E"/>
      </x:patternFill>
    </x:fill>
    <x:fill>
      <x:patternFill patternType="solid">
        <x:fgColor rgb="FF403A34"/>
      </x:patternFill>
    </x:fill>
    <x:fill>
      <x:patternFill patternType="solid">
        <x:fgColor rgb="FFF6F2EC"/>
      </x:patternFill>
    </x:fill>
    <x:fill>
      <x:patternFill patternType="solid">
        <x:fgColor rgb="FFFFF2CC"/>
      </x:patternFill>
    </x:fill>
    <x:fill>
      <x:patternFill patternType="solid">
        <x:fgColor rgb="FFE7F3E7"/>
      </x:patternFill>
    </x:fill>
  </x:fills>
  <x:borders count="4">
    <x:border/>
    <x:border>
      <x:left style="thin">
        <x:color rgb="FFD0C8BE"/>
      </x:left>
      <x:top style="thin">
        <x:color rgb="FFD0C8BE"/>
      </x:top>
      <x:bottom style="thin">
        <x:color rgb="FFD0C8BE"/>
      </x:bottom>
    </x:border>
    <x:border>
      <x:right style="thin">
        <x:color rgb="FFD0C8BE"/>
      </x:right>
      <x:top style="thin">
        <x:color rgb="FFD0C8BE"/>
      </x:top>
      <x:bottom style="thin">
        <x:color rgb="FFD0C8BE"/>
      </x:bottom>
    </x:border>
    <x:border>
      <x:top style="thin">
        <x:color rgb="FFD0C8BE"/>
      </x:top>
      <x:bottom style="thin">
        <x:color rgb="FFD0C8B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4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fbefbc3f2446d" /><Relationship Type="http://schemas.openxmlformats.org/officeDocument/2006/relationships/theme" Target="/xl/theme/theme1.xml" Id="R8090492ce54a4e7d" /><Relationship Type="http://schemas.openxmlformats.org/officeDocument/2006/relationships/sharedStrings" Target="/xl/sharedStrings.xml" Id="R6837912f704b49e8" /><Relationship Type="http://schemas.openxmlformats.org/officeDocument/2006/relationships/worksheet" Target="/xl/worksheets/sheet1.xml" Id="R845f499108744177" /><Relationship Type="http://schemas.openxmlformats.org/officeDocument/2006/relationships/worksheet" Target="/xl/worksheets/sheet2.xml" Id="R61e0bed62abd47bb" /><Relationship Type="http://schemas.openxmlformats.org/officeDocument/2006/relationships/worksheet" Target="/xl/worksheets/sheet3.xml" Id="Rce2cceae30c14630" /><Relationship Type="http://schemas.openxmlformats.org/officeDocument/2006/relationships/worksheet" Target="/xl/worksheets/sheet4.xml" Id="R4d15cc1b0e514ae1" /><Relationship Type="http://schemas.openxmlformats.org/officeDocument/2006/relationships/worksheet" Target="/xl/worksheets/sheet5.xml" Id="R16719655247a4f3b" /><Relationship Type="http://schemas.openxmlformats.org/officeDocument/2006/relationships/worksheet" Target="/xl/worksheets/sheet6.xml" Id="R09fa94affd2a474f" /><Relationship Type="http://schemas.openxmlformats.org/officeDocument/2006/relationships/worksheet" Target="/xl/worksheets/sheet7.xml" Id="Re1613e9d5b144dcf" /><Relationship Type="http://schemas.openxmlformats.org/officeDocument/2006/relationships/worksheet" Target="/xl/worksheets/sheet8.xml" Id="Rfa9abbcfd926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21" hidden="0" customWidth="1"/>
    <x:col min="7" max="7" width="18" hidden="0" customWidth="1"/>
  </x:cols>
  <x:sheetData>
    <x:row r="1" ht="30" customHeight="1">
      <x:c r="A1" s="2" t="str">
        <x:v>MODLAB | Projeção financeira enxuta</x:v>
      </x:c>
      <x:c r="B1" s="2" t="str">
        <x:v>MODLAB | Projeção financeira enxuta</x:v>
      </x:c>
      <x:c r="C1" s="2" t="str">
        <x:v>MODLAB | Projeção financeira enxuta</x:v>
      </x:c>
      <x:c r="D1" s="2" t="str">
        <x:v>MODLAB | Projeção financeira enxuta</x:v>
      </x:c>
      <x:c r="E1" s="2" t="str">
        <x:v>MODLAB | Projeção financeira enxuta</x:v>
      </x:c>
      <x:c r="F1" s="2" t="str">
        <x:v>MODLAB | Projeção financeira enxuta</x:v>
      </x:c>
      <x:c r="G1" s="2" t="str">
        <x:v>MODLAB | Projeção financeira enxuta</x:v>
      </x:c>
    </x:row>
    <x:row r="2">
      <x:c r="A2" s="3" t="str">
        <x:v>MVP com Supabase Free, Cloudflare Pages e divulgação por microinfluenciadores. Valores em reais.</x:v>
      </x:c>
      <x:c r="B2" s="3" t="str">
        <x:v>MVP com Supabase Free, Cloudflare Pages e divulgação por microinfluenciadores. Valores em reais.</x:v>
      </x:c>
      <x:c r="C2" s="3" t="str">
        <x:v>MVP com Supabase Free, Cloudflare Pages e divulgação por microinfluenciadores. Valores em reais.</x:v>
      </x:c>
      <x:c r="D2" s="3" t="str">
        <x:v>MVP com Supabase Free, Cloudflare Pages e divulgação por microinfluenciadores. Valores em reais.</x:v>
      </x:c>
      <x:c r="E2" s="3" t="str">
        <x:v>MVP com Supabase Free, Cloudflare Pages e divulgação por microinfluenciadores. Valores em reais.</x:v>
      </x:c>
      <x:c r="F2" s="3" t="str">
        <x:v>MVP com Supabase Free, Cloudflare Pages e divulgação por microinfluenciadores. Valores em reais.</x:v>
      </x:c>
      <x:c r="G2" s="3" t="str">
        <x:v>MVP com Supabase Free, Cloudflare Pages e divulgação por microinfluenciadores. Valores em reais.</x:v>
      </x:c>
    </x:row>
    <x:row r="3">
      <x:c r="A3" s="26"/>
      <x:c r="B3" s="26"/>
      <x:c r="C3" s="26"/>
      <x:c r="D3" s="26"/>
      <x:c r="E3" s="26"/>
      <x:c r="F3" s="26"/>
      <x:c r="G3" s="26"/>
    </x:row>
    <x:row r="4">
      <x:c r="A4" s="12" t="str">
        <x:v>Indicador</x:v>
      </x:c>
      <x:c r="B4" s="7" t="str">
        <x:v>Valor</x:v>
      </x:c>
      <x:c r="C4" s="26"/>
      <x:c r="D4" s="6" t="str">
        <x:v>Cenário</x:v>
      </x:c>
      <x:c r="E4" s="12" t="str">
        <x:v>Receita anual</x:v>
      </x:c>
      <x:c r="F4" s="12" t="str">
        <x:v>Lucro distribuível</x:v>
      </x:c>
      <x:c r="G4" s="12" t="str">
        <x:v>Por sócio</x:v>
      </x:c>
    </x:row>
    <x:row r="5">
      <x:c r="A5" s="26" t="str">
        <x:v>Custo mensal enxuto</x:v>
      </x:c>
      <x:c r="B5" s="10" t="n">
        <x:f>'Gastos'!B12</x:f>
        <x:v>1353.33</x:v>
      </x:c>
      <x:c r="C5" s="26"/>
      <x:c r="D5" s="26" t="str">
        <x:v>Conservador</x:v>
      </x:c>
      <x:c r="E5" s="8" t="n">
        <x:f>'Cenarios'!B4</x:f>
        <x:v>72000</x:v>
      </x:c>
      <x:c r="F5" s="8" t="n">
        <x:f>'Cenarios'!G4</x:f>
        <x:v>27750</x:v>
      </x:c>
      <x:c r="G5" s="8" t="n">
        <x:f>'Cenarios'!H4</x:f>
        <x:v>9250</x:v>
      </x:c>
    </x:row>
    <x:row r="6">
      <x:c r="A6" s="26" t="str">
        <x:v>Orçamento de influenciadores</x:v>
      </x:c>
      <x:c r="B6" s="10" t="n">
        <x:f>'Influenciadores'!B3</x:f>
        <x:v>900</x:v>
      </x:c>
      <x:c r="C6" s="26"/>
      <x:c r="D6" s="26" t="str">
        <x:v>Base</x:v>
      </x:c>
      <x:c r="E6" s="8" t="n">
        <x:f>'Cenarios'!B5</x:f>
        <x:v>216000</x:v>
      </x:c>
      <x:c r="F6" s="8" t="n">
        <x:f>'Cenarios'!G5</x:f>
        <x:v>84750</x:v>
      </x:c>
      <x:c r="G6" s="8" t="n">
        <x:f>'Cenarios'!H5</x:f>
        <x:v>28250</x:v>
      </x:c>
    </x:row>
    <x:row r="7">
      <x:c r="A7" s="26" t="str">
        <x:v>Receita mensal base</x:v>
      </x:c>
      <x:c r="B7" s="10" t="n">
        <x:f>'Receitas'!D7</x:f>
        <x:v>18000</x:v>
      </x:c>
      <x:c r="C7" s="26"/>
      <x:c r="D7" s="26" t="str">
        <x:v>Escalado</x:v>
      </x:c>
      <x:c r="E7" s="8" t="n">
        <x:f>'Cenarios'!B6</x:f>
        <x:v>600000</x:v>
      </x:c>
      <x:c r="F7" s="8" t="n">
        <x:f>'Cenarios'!G6</x:f>
        <x:v>216000</x:v>
      </x:c>
      <x:c r="G7" s="8" t="n">
        <x:f>'Cenarios'!H6</x:f>
        <x:v>72000</x:v>
      </x:c>
    </x:row>
    <x:row r="8">
      <x:c r="A8" s="26" t="str">
        <x:v>Vendas afiliadas p/ equilíbrio</x:v>
      </x:c>
      <x:c r="B8" s="11" t="n">
        <x:f>'Cenarios'!B14</x:f>
        <x:v>49</x:v>
      </x:c>
      <x:c r="C8" s="26"/>
      <x:c r="D8" s="26"/>
      <x:c r="E8" s="26"/>
      <x:c r="F8" s="26"/>
      <x:c r="G8" s="26"/>
    </x:row>
    <x:row r="9">
      <x:c r="A9" s="26" t="str">
        <x:v>Lucro distribuível anual - cenário base</x:v>
      </x:c>
      <x:c r="B9" s="10" t="n">
        <x:f>'Cenarios'!G5</x:f>
        <x:v>84750</x:v>
      </x:c>
      <x:c r="C9" s="26"/>
      <x:c r="D9" s="26"/>
      <x:c r="E9" s="26"/>
      <x:c r="F9" s="26"/>
      <x:c r="G9" s="26"/>
    </x:row>
    <x:row r="10">
      <x:c r="A10" s="26" t="str">
        <x:v>Distribuição anual por sócio</x:v>
      </x:c>
      <x:c r="B10" s="10" t="n">
        <x:f>'Cenarios'!H5</x:f>
        <x:v>28250</x:v>
      </x:c>
      <x:c r="C10" s="26"/>
      <x:c r="D10" s="26"/>
      <x:c r="E10" s="26"/>
      <x:c r="F10" s="26"/>
      <x:c r="G10" s="26"/>
    </x:row>
    <x:row r="11">
      <x:c r="A11" s="26"/>
      <x:c r="B11" s="26"/>
      <x:c r="C11" s="26"/>
      <x:c r="D11" s="26"/>
      <x:c r="E11" s="26"/>
      <x:c r="F11" s="26"/>
      <x:c r="G11" s="26"/>
    </x:row>
    <x:row r="12">
      <x:c r="A12" s="26"/>
      <x:c r="B12" s="26"/>
      <x:c r="C12" s="26"/>
      <x:c r="D12" s="26"/>
      <x:c r="E12" s="26"/>
      <x:c r="F12" s="26"/>
      <x:c r="G12" s="26"/>
    </x:row>
    <x:row r="13">
      <x:c r="A13" s="14" t="str">
        <x:v>Como usar: altere somente as células amarelas nas abas Premissas, Receitas, Gastos e Influenciadores. Os cálculos e cenários são atualizados por fórmulas.</x:v>
      </x:c>
      <x:c r="B13" s="14" t="str">
        <x:v>Como usar: altere somente as células amarelas nas abas Premissas, Receitas, Gastos e Influenciadores. Os cálculos e cenários são atualizados por fórmulas.</x:v>
      </x:c>
      <x:c r="C13" s="14" t="str">
        <x:v>Como usar: altere somente as células amarelas nas abas Premissas, Receitas, Gastos e Influenciadores. Os cálculos e cenários são atualizados por fórmulas.</x:v>
      </x:c>
      <x:c r="D13" s="14" t="str">
        <x:v>Como usar: altere somente as células amarelas nas abas Premissas, Receitas, Gastos e Influenciadores. Os cálculos e cenários são atualizados por fórmulas.</x:v>
      </x:c>
      <x:c r="E13" s="14" t="str">
        <x:v>Como usar: altere somente as células amarelas nas abas Premissas, Receitas, Gastos e Influenciadores. Os cálculos e cenários são atualizados por fórmulas.</x:v>
      </x:c>
      <x:c r="F13" s="14" t="str">
        <x:v>Como usar: altere somente as células amarelas nas abas Premissas, Receitas, Gastos e Influenciadores. Os cálculos e cenários são atualizados por fórmulas.</x:v>
      </x:c>
      <x:c r="G13" s="14" t="str">
        <x:v>Como usar: altere somente as células amarelas nas abas Premissas, Receitas, Gastos e Influenciadores. Os cálculos e cenários são atualizados por fórmulas.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48" hidden="0" customWidth="1"/>
  </x:cols>
  <x:sheetData>
    <x:row r="1" ht="30" customHeight="1">
      <x:c r="A1" s="2" t="str">
        <x:v>Premissas do modelo</x:v>
      </x:c>
      <x:c r="B1" s="2" t="str">
        <x:v>Premissas do modelo</x:v>
      </x:c>
      <x:c r="C1" s="2" t="str">
        <x:v>Premissas do modelo</x:v>
      </x:c>
      <x:c r="D1" s="2" t="str">
        <x:v>Premissas do modelo</x:v>
      </x:c>
    </x:row>
    <x:row r="2">
      <x:c r="A2" s="26"/>
      <x:c r="B2" s="26"/>
      <x:c r="C2" s="26"/>
      <x:c r="D2" s="26"/>
    </x:row>
    <x:row r="3">
      <x:c r="A3" s="12" t="str">
        <x:v>Premissa</x:v>
      </x:c>
      <x:c r="B3" s="12" t="str">
        <x:v>Valor</x:v>
      </x:c>
      <x:c r="C3" s="12" t="str">
        <x:v>Unidade</x:v>
      </x:c>
      <x:c r="D3" s="12" t="str">
        <x:v>Nota</x:v>
      </x:c>
    </x:row>
    <x:row r="4">
      <x:c r="A4" s="26" t="str">
        <x:v>Sócios</x:v>
      </x:c>
      <x:c r="B4" s="16" t="n">
        <x:v>3</x:v>
      </x:c>
      <x:c r="C4" s="26" t="str">
        <x:v>pessoas</x:v>
      </x:c>
      <x:c r="D4" s="26" t="str">
        <x:v>Divisão igualitária</x:v>
      </x:c>
    </x:row>
    <x:row r="5">
      <x:c r="A5" s="26" t="str">
        <x:v>Reserva de caixa</x:v>
      </x:c>
      <x:c r="B5" s="17" t="n">
        <x:v>0.25</x:v>
      </x:c>
      <x:c r="C5" s="26" t="str">
        <x:v>% do lucro</x:v>
      </x:c>
      <x:c r="D5" s="26" t="str">
        <x:v>Mantida no negócio antes de distribuir</x:v>
      </x:c>
    </x:row>
    <x:row r="6">
      <x:c r="A6" s="26" t="str">
        <x:v>Comissão média afiliada</x:v>
      </x:c>
      <x:c r="B6" s="17" t="n">
        <x:v>0.07</x:v>
      </x:c>
      <x:c r="C6" s="26" t="str">
        <x:v>% da venda</x:v>
      </x:c>
      <x:c r="D6" s="26" t="str">
        <x:v>Referência conservadora</x:v>
      </x:c>
    </x:row>
    <x:row r="7">
      <x:c r="A7" s="26" t="str">
        <x:v>Ticket médio</x:v>
      </x:c>
      <x:c r="B7" s="18" t="n">
        <x:v>400</x:v>
      </x:c>
      <x:c r="C7" s="26" t="str">
        <x:v>R$ por venda</x:v>
      </x:c>
      <x:c r="D7" s="26" t="str">
        <x:v>Peças e acessórios</x:v>
      </x:c>
    </x:row>
    <x:row r="8">
      <x:c r="A8" s="26" t="str">
        <x:v>CTR de influenciador</x:v>
      </x:c>
      <x:c r="B8" s="17" t="n">
        <x:v>0.015</x:v>
      </x:c>
      <x:c r="C8" s="26" t="str">
        <x:v>% das visualizações</x:v>
      </x:c>
      <x:c r="D8" s="26" t="str">
        <x:v>Clique para o site</x:v>
      </x:c>
    </x:row>
    <x:row r="9">
      <x:c r="A9" s="26" t="str">
        <x:v>Conversão pós-clique</x:v>
      </x:c>
      <x:c r="B9" s="17" t="n">
        <x:v>0.03</x:v>
      </x:c>
      <x:c r="C9" s="26" t="str">
        <x:v>% dos cliques</x:v>
      </x:c>
      <x:c r="D9" s="26" t="str">
        <x:v>Compra confirmada</x:v>
      </x:c>
    </x:row>
    <x:row r="10">
      <x:c r="A10" s="26" t="str">
        <x:v>Visualizações por criador</x:v>
      </x:c>
      <x:c r="B10" s="16" t="n">
        <x:v>25000</x:v>
      </x:c>
      <x:c r="C10" s="26" t="str">
        <x:v>visualizações</x:v>
      </x:c>
      <x:c r="D10" s="26" t="str">
        <x:v>Meta de campanha</x:v>
      </x:c>
    </x:row>
    <x:row r="11">
      <x:c r="A11" s="26" t="str">
        <x:v>Criadores por campanha</x:v>
      </x:c>
      <x:c r="B11" s="16" t="n">
        <x:v>3</x:v>
      </x:c>
      <x:c r="C11" s="26" t="str">
        <x:v>pessoas</x:v>
      </x:c>
      <x:c r="D11" s="26" t="str">
        <x:v>Microinfluenciadores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34" hidden="0" customWidth="1"/>
    <x:col min="4" max="4" width="18" hidden="0" customWidth="1"/>
    <x:col min="5" max="5" width="18" hidden="0" customWidth="1"/>
  </x:cols>
  <x:sheetData>
    <x:row r="1" ht="30" customHeight="1">
      <x:c r="A1" s="2" t="str">
        <x:v>Receitas mensais — cenário base</x:v>
      </x:c>
      <x:c r="B1" s="2" t="str">
        <x:v>Receitas mensais — cenário base</x:v>
      </x:c>
      <x:c r="C1" s="2" t="str">
        <x:v>Receitas mensais — cenário base</x:v>
      </x:c>
      <x:c r="D1" s="2" t="str">
        <x:v>Receitas mensais — cenário base</x:v>
      </x:c>
      <x:c r="E1" s="2" t="str">
        <x:v>Receitas mensais — cenário base</x:v>
      </x:c>
    </x:row>
    <x:row r="2">
      <x:c r="A2" s="26"/>
      <x:c r="B2" s="26"/>
      <x:c r="C2" s="26"/>
      <x:c r="D2" s="26"/>
      <x:c r="E2" s="26"/>
    </x:row>
    <x:row r="3">
      <x:c r="A3" s="12" t="str">
        <x:v>Fonte</x:v>
      </x:c>
      <x:c r="B3" s="12" t="str">
        <x:v>Meta mensal</x:v>
      </x:c>
      <x:c r="C3" s="12" t="str">
        <x:v>Cálculo</x:v>
      </x:c>
      <x:c r="D3" s="12" t="str">
        <x:v>Receita mensal</x:v>
      </x:c>
      <x:c r="E3" s="12" t="str">
        <x:v>Receita anual</x:v>
      </x:c>
    </x:row>
    <x:row r="4">
      <x:c r="A4" s="26" t="str">
        <x:v>Afiliados</x:v>
      </x:c>
      <x:c r="B4" s="18" t="n">
        <x:v>8000</x:v>
      </x:c>
      <x:c r="C4" s="26" t="str">
        <x:v>Comissões por peças e acessórios</x:v>
      </x:c>
      <x:c r="D4" s="8" t="n">
        <x:f>B4</x:f>
        <x:v>8000</x:v>
      </x:c>
      <x:c r="E4" s="8" t="n">
        <x:f>D4*12</x:f>
        <x:v>96000</x:v>
      </x:c>
    </x:row>
    <x:row r="5">
      <x:c r="A5" s="26" t="str">
        <x:v>Fornecedores destacados</x:v>
      </x:c>
      <x:c r="B5" s="18" t="n">
        <x:v>6000</x:v>
      </x:c>
      <x:c r="C5" s="26" t="str">
        <x:v>60 perfis a R$ 99/mês</x:v>
      </x:c>
      <x:c r="D5" s="8" t="n">
        <x:f>B5</x:f>
        <x:v>6000</x:v>
      </x:c>
      <x:c r="E5" s="8" t="n">
        <x:f>D5*12</x:f>
        <x:v>72000</x:v>
      </x:c>
    </x:row>
    <x:row r="6">
      <x:c r="A6" s="26" t="str">
        <x:v>Modlab Premium</x:v>
      </x:c>
      <x:c r="B6" s="18" t="n">
        <x:v>4000</x:v>
      </x:c>
      <x:c r="C6" s="26" t="str">
        <x:v>200 assinantes a R$ 19,90/mês</x:v>
      </x:c>
      <x:c r="D6" s="8" t="n">
        <x:f>B6</x:f>
        <x:v>4000</x:v>
      </x:c>
      <x:c r="E6" s="8" t="n">
        <x:f>D6*12</x:f>
        <x:v>48000</x:v>
      </x:c>
    </x:row>
    <x:row r="7">
      <x:c r="A7" s="20" t="str">
        <x:v>Total</x:v>
      </x:c>
      <x:c r="B7" s="20" t="str">
        <x:v>Total</x:v>
      </x:c>
      <x:c r="C7" s="20" t="str">
        <x:v>Total</x:v>
      </x:c>
      <x:c r="D7" s="21" t="n">
        <x:f>SUM(D4:D6)</x:f>
        <x:v>18000</x:v>
      </x:c>
      <x:c r="E7" s="21" t="n">
        <x:f>SUM(E4:E6)</x:f>
        <x:v>216000</x:v>
      </x:c>
    </x:row>
  </x:sheetData>
  <x:mergeCells>
    <x:mergeCell ref="A1:E1"/>
    <x:mergeCell ref="A7:C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5" hidden="0" customWidth="1"/>
    <x:col min="4" max="4" width="46" hidden="0" customWidth="1"/>
  </x:cols>
  <x:sheetData>
    <x:row r="1" ht="30" customHeight="1">
      <x:c r="A1" s="2" t="str">
        <x:v>Gastos mensais — operação enxuta</x:v>
      </x:c>
      <x:c r="B1" s="2" t="str">
        <x:v>Gastos mensais — operação enxuta</x:v>
      </x:c>
      <x:c r="C1" s="2" t="str">
        <x:v>Gastos mensais — operação enxuta</x:v>
      </x:c>
      <x:c r="D1" s="2" t="str">
        <x:v>Gastos mensais — operação enxuta</x:v>
      </x:c>
    </x:row>
    <x:row r="2">
      <x:c r="A2" s="26"/>
      <x:c r="B2" s="26"/>
      <x:c r="C2" s="26"/>
      <x:c r="D2" s="26"/>
    </x:row>
    <x:row r="3">
      <x:c r="A3" s="12" t="str">
        <x:v>Categoria</x:v>
      </x:c>
      <x:c r="B3" s="12" t="str">
        <x:v>Custo mensal</x:v>
      </x:c>
      <x:c r="C3" s="12" t="str">
        <x:v>Tipo</x:v>
      </x:c>
      <x:c r="D3" s="12" t="str">
        <x:v>Observação</x:v>
      </x:c>
    </x:row>
    <x:row r="4">
      <x:c r="A4" s="26" t="str">
        <x:v>Domínio .com.br</x:v>
      </x:c>
      <x:c r="B4" s="18" t="n">
        <x:v>3.33</x:v>
      </x:c>
      <x:c r="C4" s="26" t="str">
        <x:v>Fixo</x:v>
      </x:c>
      <x:c r="D4" s="26" t="str">
        <x:v>R$ 40 anual convertido em mensal</x:v>
      </x:c>
    </x:row>
    <x:row r="5">
      <x:c r="A5" s="26" t="str">
        <x:v>Cloudflare Pages</x:v>
      </x:c>
      <x:c r="B5" s="18" t="n">
        <x:v>0</x:v>
      </x:c>
      <x:c r="C5" s="26" t="str">
        <x:v>Fixo</x:v>
      </x:c>
      <x:c r="D5" s="26" t="str">
        <x:v>Hospedagem gratuita do front-end</x:v>
      </x:c>
    </x:row>
    <x:row r="6">
      <x:c r="A6" s="26" t="str">
        <x:v>Supabase Free</x:v>
      </x:c>
      <x:c r="B6" s="18" t="n">
        <x:v>0</x:v>
      </x:c>
      <x:c r="C6" s="26" t="str">
        <x:v>Fixo</x:v>
      </x:c>
      <x:c r="D6" s="26" t="str">
        <x:v>Banco, auth e storage do MVP</x:v>
      </x:c>
    </x:row>
    <x:row r="7">
      <x:c r="A7" s="26" t="str">
        <x:v>Créditos de IA</x:v>
      </x:c>
      <x:c r="B7" s="18" t="n">
        <x:v>50</x:v>
      </x:c>
      <x:c r="C7" s="26" t="str">
        <x:v>Variável</x:v>
      </x:c>
      <x:c r="D7" s="26" t="str">
        <x:v>Limite inicial de consumo</x:v>
      </x:c>
    </x:row>
    <x:row r="8">
      <x:c r="A8" s="26" t="str">
        <x:v>Contabilidade</x:v>
      </x:c>
      <x:c r="B8" s="18" t="n">
        <x:v>300</x:v>
      </x:c>
      <x:c r="C8" s="26" t="str">
        <x:v>Fixo</x:v>
      </x:c>
      <x:c r="D8" s="26" t="str">
        <x:v>Ativar com formalização comercial</x:v>
      </x:c>
    </x:row>
    <x:row r="9">
      <x:c r="A9" s="26" t="str">
        <x:v>Influenciadores</x:v>
      </x:c>
      <x:c r="B9" s="18" t="n">
        <x:v>900</x:v>
      </x:c>
      <x:c r="C9" s="26" t="str">
        <x:v>Variável</x:v>
      </x:c>
      <x:c r="D9" s="26" t="str">
        <x:v>3 microinfluenciadores por campanha</x:v>
      </x:c>
    </x:row>
    <x:row r="10">
      <x:c r="A10" s="26" t="str">
        <x:v>Reserva técnica</x:v>
      </x:c>
      <x:c r="B10" s="18" t="n">
        <x:v>100</x:v>
      </x:c>
      <x:c r="C10" s="26" t="str">
        <x:v>Reserva</x:v>
      </x:c>
      <x:c r="D10" s="26" t="str">
        <x:v>Imprevistos e crescimento</x:v>
      </x:c>
    </x:row>
    <x:row r="11">
      <x:c r="A11" s="26" t="str">
        <x:v>Ferramentas gratuitas</x:v>
      </x:c>
      <x:c r="B11" s="18" t="n">
        <x:v>0</x:v>
      </x:c>
      <x:c r="C11" s="26" t="str">
        <x:v>Fixo</x:v>
      </x:c>
      <x:c r="D11" s="26" t="str">
        <x:v>E-mail, analytics e monitoramento</x:v>
      </x:c>
    </x:row>
    <x:row r="12">
      <x:c r="A12" s="20" t="str">
        <x:v>Total mensal</x:v>
      </x:c>
      <x:c r="B12" s="21" t="n">
        <x:f>SUM(B4:B11)</x:f>
        <x:v>1353.33</x:v>
      </x:c>
      <x:c r="C12" s="20"/>
      <x:c r="D12" s="20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9" hidden="0" customWidth="1"/>
    <x:col min="4" max="4" width="16" hidden="0" customWidth="1"/>
    <x:col min="5" max="5" width="14" hidden="0" customWidth="1"/>
    <x:col min="6" max="6" width="27" hidden="0" customWidth="1"/>
  </x:cols>
  <x:sheetData>
    <x:row r="1" ht="30" customHeight="1">
      <x:c r="A1" s="2" t="str">
        <x:v>Divulgação por microinfluenciadores</x:v>
      </x:c>
      <x:c r="B1" s="2" t="str">
        <x:v>Divulgação por microinfluenciadores</x:v>
      </x:c>
      <x:c r="C1" s="2" t="str">
        <x:v>Divulgação por microinfluenciadores</x:v>
      </x:c>
      <x:c r="D1" s="2" t="str">
        <x:v>Divulgação por microinfluenciadores</x:v>
      </x:c>
      <x:c r="E1" s="2" t="str">
        <x:v>Divulgação por microinfluenciadores</x:v>
      </x:c>
      <x:c r="F1" s="2" t="str">
        <x:v>Divulgação por microinfluenciadores</x:v>
      </x:c>
    </x:row>
    <x:row r="2">
      <x:c r="A2" s="26"/>
      <x:c r="B2" s="26"/>
      <x:c r="C2" s="26"/>
      <x:c r="D2" s="26"/>
      <x:c r="E2" s="26"/>
      <x:c r="F2" s="26"/>
    </x:row>
    <x:row r="3">
      <x:c r="A3" s="26" t="str">
        <x:v>Orçamento mensal</x:v>
      </x:c>
      <x:c r="B3" s="10" t="n">
        <x:f>'Gastos'!B9</x:f>
        <x:v>900</x:v>
      </x:c>
      <x:c r="C3" s="26"/>
      <x:c r="D3" s="26"/>
      <x:c r="E3" s="26"/>
      <x:c r="F3" s="26"/>
    </x:row>
    <x:row r="4">
      <x:c r="A4" s="26"/>
      <x:c r="B4" s="26"/>
      <x:c r="C4" s="26"/>
      <x:c r="D4" s="26"/>
      <x:c r="E4" s="26"/>
      <x:c r="F4" s="26"/>
    </x:row>
    <x:row r="5">
      <x:c r="A5" s="12" t="str">
        <x:v>Métrica</x:v>
      </x:c>
      <x:c r="B5" s="12" t="str">
        <x:v>Valor</x:v>
      </x:c>
      <x:c r="C5" s="12" t="str">
        <x:v>Fórmula / origem</x:v>
      </x:c>
      <x:c r="D5" s="12" t="str">
        <x:v>Resultado</x:v>
      </x:c>
      <x:c r="E5" s="12" t="str">
        <x:v>Unidade</x:v>
      </x:c>
      <x:c r="F5" s="12" t="str">
        <x:v>Leitura</x:v>
      </x:c>
    </x:row>
    <x:row r="6">
      <x:c r="A6" s="26" t="str">
        <x:v>Criadores</x:v>
      </x:c>
      <x:c r="B6" s="26" t="n">
        <x:f>'Premissas'!B11</x:f>
        <x:v>3</x:v>
      </x:c>
      <x:c r="C6" s="26" t="str">
        <x:v>Premissas</x:v>
      </x:c>
      <x:c r="D6" s="26" t="n">
        <x:f>B6</x:f>
        <x:v>3</x:v>
      </x:c>
      <x:c r="E6" s="26" t="str">
        <x:v>criadores</x:v>
      </x:c>
      <x:c r="F6" s="26" t="str">
        <x:v>Volume de parceiros</x:v>
      </x:c>
    </x:row>
    <x:row r="7">
      <x:c r="A7" s="26" t="str">
        <x:v>Visualizações totais</x:v>
      </x:c>
      <x:c r="B7" s="26" t="n">
        <x:f>'Premissas'!B10*'Premissas'!B11</x:f>
        <x:v>75000</x:v>
      </x:c>
      <x:c r="C7" s="26" t="str">
        <x:v>Criadores × visualizações</x:v>
      </x:c>
      <x:c r="D7" s="26" t="n">
        <x:f>B7</x:f>
        <x:v>75000</x:v>
      </x:c>
      <x:c r="E7" s="26" t="str">
        <x:v>views</x:v>
      </x:c>
      <x:c r="F7" s="26" t="str">
        <x:v>Alcance da campanha</x:v>
      </x:c>
    </x:row>
    <x:row r="8">
      <x:c r="A8" s="26" t="str">
        <x:v>Cliques no site</x:v>
      </x:c>
      <x:c r="B8" s="26" t="n">
        <x:f>B7*'Premissas'!B8</x:f>
        <x:v>1125</x:v>
      </x:c>
      <x:c r="C8" s="26" t="str">
        <x:v>Visualizações × CTR</x:v>
      </x:c>
      <x:c r="D8" s="26" t="n">
        <x:f>B8</x:f>
        <x:v>1125</x:v>
      </x:c>
      <x:c r="E8" s="26" t="str">
        <x:v>cliques</x:v>
      </x:c>
      <x:c r="F8" s="26" t="str">
        <x:v>Tráfego atribuído</x:v>
      </x:c>
    </x:row>
    <x:row r="9">
      <x:c r="A9" s="26" t="str">
        <x:v>Compras afiliadas</x:v>
      </x:c>
      <x:c r="B9" s="26" t="n">
        <x:f>B8*'Premissas'!B9</x:f>
        <x:v>33.75</x:v>
      </x:c>
      <x:c r="C9" s="26" t="str">
        <x:v>Cliques × conversão</x:v>
      </x:c>
      <x:c r="D9" s="26" t="n">
        <x:f>B9</x:f>
        <x:v>33.75</x:v>
      </x:c>
      <x:c r="E9" s="26" t="str">
        <x:v>vendas</x:v>
      </x:c>
      <x:c r="F9" s="26" t="str">
        <x:v>Conversão paga</x:v>
      </x:c>
    </x:row>
    <x:row r="10">
      <x:c r="A10" s="26" t="str">
        <x:v>Receita de comissão</x:v>
      </x:c>
      <x:c r="B10" s="8" t="n">
        <x:f>B9*'Premissas'!B7*'Premissas'!B6</x:f>
        <x:v>945.0000000000001</x:v>
      </x:c>
      <x:c r="C10" s="8" t="str">
        <x:v>Compras × ticket × comissão</x:v>
      </x:c>
      <x:c r="D10" s="8" t="n">
        <x:f>B10</x:f>
        <x:v>945.0000000000001</x:v>
      </x:c>
      <x:c r="E10" s="26" t="str">
        <x:v>R$</x:v>
      </x:c>
      <x:c r="F10" s="26" t="str">
        <x:v>Receita direta</x:v>
      </x:c>
    </x:row>
    <x:row r="11">
      <x:c r="A11" s="26"/>
      <x:c r="B11" s="26"/>
      <x:c r="C11" s="26"/>
      <x:c r="D11" s="26"/>
      <x:c r="E11" s="26"/>
      <x:c r="F11" s="26"/>
    </x:row>
    <x:row r="12">
      <x:c r="A12" s="14" t="str">
        <x:v>Meta: o piloto deve aproximar receita afiliada e investimento em divulgação; fornecedores destacados e Premium completam a margem.</x:v>
      </x:c>
      <x:c r="B12" s="14" t="str">
        <x:v>Meta: o piloto deve aproximar receita afiliada e investimento em divulgação; fornecedores destacados e Premium completam a margem.</x:v>
      </x:c>
      <x:c r="C12" s="14" t="str">
        <x:v>Meta: o piloto deve aproximar receita afiliada e investimento em divulgação; fornecedores destacados e Premium completam a margem.</x:v>
      </x:c>
      <x:c r="D12" s="14" t="str">
        <x:v>Meta: o piloto deve aproximar receita afiliada e investimento em divulgação; fornecedores destacados e Premium completam a margem.</x:v>
      </x:c>
      <x:c r="E12" s="14" t="str">
        <x:v>Meta: o piloto deve aproximar receita afiliada e investimento em divulgação; fornecedores destacados e Premium completam a margem.</x:v>
      </x:c>
      <x:c r="F12" s="14" t="str">
        <x:v>Meta: o piloto deve aproximar receita afiliada e investimento em divulgação; fornecedores destacados e Premium completam a margem.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17" hidden="0" customWidth="1"/>
  </x:cols>
  <x:sheetData>
    <x:row r="1" ht="30" customHeight="1">
      <x:c r="A1" s="2" t="str">
        <x:v>Cenários anuais e divisão entre sócios</x:v>
      </x:c>
      <x:c r="B1" s="2" t="str">
        <x:v>Cenários anuais e divisão entre sócios</x:v>
      </x:c>
      <x:c r="C1" s="2" t="str">
        <x:v>Cenários anuais e divisão entre sócios</x:v>
      </x:c>
      <x:c r="D1" s="2" t="str">
        <x:v>Cenários anuais e divisão entre sócios</x:v>
      </x:c>
      <x:c r="E1" s="2" t="str">
        <x:v>Cenários anuais e divisão entre sócios</x:v>
      </x:c>
      <x:c r="F1" s="2" t="str">
        <x:v>Cenários anuais e divisão entre sócios</x:v>
      </x:c>
      <x:c r="G1" s="2" t="str">
        <x:v>Cenários anuais e divisão entre sócios</x:v>
      </x:c>
      <x:c r="H1" s="2" t="str">
        <x:v>Cenários anuais e divisão entre sócios</x:v>
      </x:c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12" t="str">
        <x:v>Cenário</x:v>
      </x:c>
      <x:c r="B3" s="12" t="str">
        <x:v>Receita anual</x:v>
      </x:c>
      <x:c r="C3" s="12" t="str">
        <x:v>Operação anual</x:v>
      </x:c>
      <x:c r="D3" s="12" t="str">
        <x:v>Impostos provisionados</x:v>
      </x:c>
      <x:c r="E3" s="12" t="str">
        <x:v>Lucro antes da reserva</x:v>
      </x:c>
      <x:c r="F3" s="12" t="str">
        <x:v>Reserva de caixa</x:v>
      </x:c>
      <x:c r="G3" s="12" t="str">
        <x:v>Lucro distribuível</x:v>
      </x:c>
      <x:c r="H3" s="12" t="str">
        <x:v>Por sócio</x:v>
      </x:c>
    </x:row>
    <x:row r="4">
      <x:c r="A4" s="26" t="str">
        <x:v>Conservador</x:v>
      </x:c>
      <x:c r="B4" s="18" t="n">
        <x:v>72000</x:v>
      </x:c>
      <x:c r="C4" s="18" t="n">
        <x:v>27000</x:v>
      </x:c>
      <x:c r="D4" s="18" t="n">
        <x:v>8000</x:v>
      </x:c>
      <x:c r="E4" s="8" t="n">
        <x:f>B4-C4-D4</x:f>
        <x:v>37000</x:v>
      </x:c>
      <x:c r="F4" s="8" t="n">
        <x:f>E4*'Premissas'!B5</x:f>
        <x:v>9250</x:v>
      </x:c>
      <x:c r="G4" s="8" t="n">
        <x:f>E4-F4</x:f>
        <x:v>27750</x:v>
      </x:c>
      <x:c r="H4" s="8" t="n">
        <x:f>G4/'Premissas'!B4</x:f>
        <x:v>9250</x:v>
      </x:c>
    </x:row>
    <x:row r="5">
      <x:c r="A5" s="26" t="str">
        <x:v>Base</x:v>
      </x:c>
      <x:c r="B5" s="18" t="n">
        <x:v>216000</x:v>
      </x:c>
      <x:c r="C5" s="18" t="n">
        <x:v>78000</x:v>
      </x:c>
      <x:c r="D5" s="18" t="n">
        <x:v>25000</x:v>
      </x:c>
      <x:c r="E5" s="8" t="n">
        <x:f>B5-C5-D5</x:f>
        <x:v>113000</x:v>
      </x:c>
      <x:c r="F5" s="8" t="n">
        <x:f>E5*'Premissas'!B5</x:f>
        <x:v>28250</x:v>
      </x:c>
      <x:c r="G5" s="8" t="n">
        <x:f>E5-F5</x:f>
        <x:v>84750</x:v>
      </x:c>
      <x:c r="H5" s="8" t="n">
        <x:f>G5/'Premissas'!B4</x:f>
        <x:v>28250</x:v>
      </x:c>
    </x:row>
    <x:row r="6">
      <x:c r="A6" s="26" t="str">
        <x:v>Escalado</x:v>
      </x:c>
      <x:c r="B6" s="18" t="n">
        <x:v>600000</x:v>
      </x:c>
      <x:c r="C6" s="18" t="n">
        <x:v>240000</x:v>
      </x:c>
      <x:c r="D6" s="18" t="n">
        <x:v>72000</x:v>
      </x:c>
      <x:c r="E6" s="8" t="n">
        <x:f>B6-C6-D6</x:f>
        <x:v>288000</x:v>
      </x:c>
      <x:c r="F6" s="8" t="n">
        <x:f>E6*'Premissas'!B5</x:f>
        <x:v>72000</x:v>
      </x:c>
      <x:c r="G6" s="8" t="n">
        <x:f>E6-F6</x:f>
        <x:v>216000</x:v>
      </x:c>
      <x:c r="H6" s="8" t="n">
        <x:f>G6/'Premissas'!B4</x:f>
        <x:v>72000</x:v>
      </x:c>
    </x:row>
    <x:row r="7">
      <x:c r="A7" s="26"/>
      <x:c r="B7" s="26"/>
      <x:c r="C7" s="26"/>
      <x:c r="D7" s="26"/>
      <x:c r="E7" s="26"/>
      <x:c r="F7" s="26"/>
      <x:c r="G7" s="26"/>
      <x:c r="H7" s="26"/>
    </x:row>
    <x:row r="8">
      <x:c r="A8" s="12" t="str">
        <x:v>Indicador</x:v>
      </x:c>
      <x:c r="B8" s="7" t="str">
        <x:v>Valor</x:v>
      </x:c>
      <x:c r="C8" s="26"/>
      <x:c r="D8" s="26"/>
      <x:c r="E8" s="26"/>
      <x:c r="F8" s="26"/>
      <x:c r="G8" s="26"/>
      <x:c r="H8" s="26"/>
    </x:row>
    <x:row r="9">
      <x:c r="A9" s="26" t="str">
        <x:v>Receita mensal base</x:v>
      </x:c>
      <x:c r="B9" s="10" t="n">
        <x:f>'Receitas'!D7</x:f>
        <x:v>18000</x:v>
      </x:c>
      <x:c r="C9" s="26"/>
      <x:c r="D9" s="26"/>
      <x:c r="E9" s="26"/>
      <x:c r="F9" s="26"/>
      <x:c r="G9" s="26"/>
      <x:c r="H9" s="26"/>
    </x:row>
    <x:row r="10">
      <x:c r="A10" s="26" t="str">
        <x:v>Gastos mensais enxutos</x:v>
      </x:c>
      <x:c r="B10" s="10" t="n">
        <x:f>'Gastos'!B12</x:f>
        <x:v>1353.33</x:v>
      </x:c>
      <x:c r="C10" s="26"/>
      <x:c r="D10" s="26"/>
      <x:c r="E10" s="26"/>
      <x:c r="F10" s="26"/>
      <x:c r="G10" s="26"/>
      <x:c r="H10" s="26"/>
    </x:row>
    <x:row r="11">
      <x:c r="A11" s="26" t="str">
        <x:v>Resultado mensal antes de impostos</x:v>
      </x:c>
      <x:c r="B11" s="10" t="n">
        <x:f>B9-B10</x:f>
        <x:v>16646.67</x:v>
      </x:c>
      <x:c r="C11" s="26"/>
      <x:c r="D11" s="26"/>
      <x:c r="E11" s="26"/>
      <x:c r="F11" s="26"/>
      <x:c r="G11" s="26"/>
      <x:c r="H11" s="26"/>
    </x:row>
    <x:row r="12">
      <x:c r="A12" s="26" t="str">
        <x:v>Impostos provisionados - taxa</x:v>
      </x:c>
      <x:c r="B12" s="17" t="n">
        <x:v>0.116</x:v>
      </x:c>
      <x:c r="C12" s="26"/>
      <x:c r="D12" s="26"/>
      <x:c r="E12" s="26"/>
      <x:c r="F12" s="26"/>
      <x:c r="G12" s="26"/>
      <x:c r="H12" s="26"/>
    </x:row>
    <x:row r="13">
      <x:c r="A13" s="26" t="str">
        <x:v>Ponto de equilíbrio (mês)</x:v>
      </x:c>
      <x:c r="B13" s="10" t="n">
        <x:f>B10/('Premissas'!B7*'Premissas'!B6)</x:f>
        <x:v>48.33321428571428</x:v>
      </x:c>
      <x:c r="C13" s="26"/>
      <x:c r="D13" s="26"/>
      <x:c r="E13" s="26"/>
      <x:c r="F13" s="26"/>
      <x:c r="G13" s="26"/>
      <x:c r="H13" s="26"/>
    </x:row>
    <x:row r="14">
      <x:c r="A14" s="26" t="str">
        <x:v>Vendas afiliadas necessárias</x:v>
      </x:c>
      <x:c r="B14" s="11" t="n">
        <x:f>ROUNDUP(B13,0)</x:f>
        <x:v>49</x:v>
      </x:c>
      <x:c r="C14" s="26"/>
      <x:c r="D14" s="26"/>
      <x:c r="E14" s="26"/>
      <x:c r="F14" s="26"/>
      <x:c r="G14" s="26"/>
      <x:c r="H14" s="26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30" customHeight="1">
      <x:c r="A1" s="2" t="str">
        <x:v>Checagens do modelo</x:v>
      </x:c>
      <x:c r="B1" s="2" t="str">
        <x:v>Checagens do modelo</x:v>
      </x:c>
      <x:c r="C1" s="2" t="str">
        <x:v>Checagens do modelo</x:v>
      </x:c>
      <x:c r="D1" s="2" t="str">
        <x:v>Checagens do modelo</x:v>
      </x:c>
      <x:c r="E1" s="2" t="str">
        <x:v>Checagens do modelo</x:v>
      </x:c>
    </x:row>
    <x:row r="2">
      <x:c r="A2" s="26"/>
      <x:c r="B2" s="26"/>
      <x:c r="C2" s="26"/>
      <x:c r="D2" s="26"/>
      <x:c r="E2" s="26"/>
    </x:row>
    <x:row r="3">
      <x:c r="A3" s="12" t="str">
        <x:v>Checagem</x:v>
      </x:c>
      <x:c r="B3" s="12" t="str">
        <x:v>Atual</x:v>
      </x:c>
      <x:c r="C3" s="12" t="str">
        <x:v>Esperado</x:v>
      </x:c>
      <x:c r="D3" s="12" t="str">
        <x:v>Diferença</x:v>
      </x:c>
      <x:c r="E3" s="12" t="str">
        <x:v>Status</x:v>
      </x:c>
    </x:row>
    <x:row r="4">
      <x:c r="A4" s="26" t="str">
        <x:v>Receita base reconcilia</x:v>
      </x:c>
      <x:c r="B4" s="8" t="n">
        <x:f>'Receitas'!E7</x:f>
        <x:v>216000</x:v>
      </x:c>
      <x:c r="C4" s="8" t="n">
        <x:f>SUM('Receitas'!E4:E6)</x:f>
        <x:v>216000</x:v>
      </x:c>
      <x:c r="D4" s="8" t="n">
        <x:f>B4-C4</x:f>
        <x:v>0</x:v>
      </x:c>
      <x:c r="E4" s="26" t="str">
        <x:f>IF(ABS(D4)&lt;1,"OK","REVISAR")</x:f>
        <x:v>OK</x:v>
      </x:c>
    </x:row>
    <x:row r="5">
      <x:c r="A5" s="26" t="str">
        <x:v>Lucro distribuível base</x:v>
      </x:c>
      <x:c r="B5" s="8" t="n">
        <x:f>'Cenarios'!G5</x:f>
        <x:v>84750</x:v>
      </x:c>
      <x:c r="C5" s="8" t="n">
        <x:f>'Cenarios'!E5-'Cenarios'!F5</x:f>
        <x:v>84750</x:v>
      </x:c>
      <x:c r="D5" s="8" t="n">
        <x:f>B5-C5</x:f>
        <x:v>0</x:v>
      </x:c>
      <x:c r="E5" s="26" t="str">
        <x:f>IF(ABS(D5)&lt;1,"OK","REVISAR")</x:f>
        <x:v>OK</x:v>
      </x:c>
    </x:row>
    <x:row r="6">
      <x:c r="A6" s="26" t="str">
        <x:v>Divisão entre sócios</x:v>
      </x:c>
      <x:c r="B6" s="8" t="n">
        <x:f>'Cenarios'!H5*'Premissas'!B4</x:f>
        <x:v>84750</x:v>
      </x:c>
      <x:c r="C6" s="8" t="n">
        <x:f>'Cenarios'!G5</x:f>
        <x:v>84750</x:v>
      </x:c>
      <x:c r="D6" s="8" t="n">
        <x:f>B6-C6</x:f>
        <x:v>0</x:v>
      </x:c>
      <x:c r="E6" s="26" t="str">
        <x:f>IF(ABS(D6)&lt;1,"OK","REVISAR")</x:f>
        <x:v>OK</x:v>
      </x:c>
    </x:row>
    <x:row r="7">
      <x:c r="A7" s="26" t="str">
        <x:v>Reserva é positiva</x:v>
      </x:c>
      <x:c r="B7" s="8" t="n">
        <x:f>'Cenarios'!F5</x:f>
        <x:v>28250</x:v>
      </x:c>
      <x:c r="C7" s="8" t="n">
        <x:f>0</x:f>
        <x:v>0</x:v>
      </x:c>
      <x:c r="D7" s="8" t="n">
        <x:f>B7-C7</x:f>
        <x:v>28250</x:v>
      </x:c>
      <x:c r="E7" s="26" t="str">
        <x:f>IF(B7&gt;0,"OK","REVISAR")</x:f>
        <x:v>OK</x:v>
      </x:c>
    </x:row>
    <x:row r="8">
      <x:c r="A8" s="26"/>
      <x:c r="B8" s="26"/>
      <x:c r="C8" s="26"/>
      <x:c r="D8" s="26"/>
      <x:c r="E8" s="26"/>
    </x:row>
    <x:row r="9">
      <x:c r="A9" s="14" t="str">
        <x:v>Status do modelo: revise as células amarelas após obter propostas reais de influenciadores e parceiros.</x:v>
      </x:c>
      <x:c r="B9" s="14" t="str">
        <x:v>Status do modelo: revise as células amarelas após obter propostas reais de influenciadores e parceiros.</x:v>
      </x:c>
      <x:c r="C9" s="14" t="str">
        <x:v>Status do modelo: revise as células amarelas após obter propostas reais de influenciadores e parceiros.</x:v>
      </x:c>
      <x:c r="D9" s="14" t="str">
        <x:v>Status do modelo: revise as células amarelas após obter propostas reais de influenciadores e parceiros.</x:v>
      </x:c>
      <x:c r="E9" s="14" t="str">
        <x:v>Status do modelo: revise as células amarelas após obter propostas reais de influenciadores e parceiros.</x:v>
      </x:c>
    </x:row>
  </x:sheetData>
  <x:mergeCells>
    <x:mergeCell ref="A1:E1"/>
    <x:mergeCell ref="A9:E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62" hidden="0" customWidth="1"/>
    <x:col min="5" max="5" width="15" hidden="0" customWidth="1"/>
    <x:col min="6" max="6" width="42" hidden="0" customWidth="1"/>
  </x:cols>
  <x:sheetData>
    <x:row r="1" ht="30" customHeight="1">
      <x:c r="A1" s="2" t="str">
        <x:v>Fontes e notas</x:v>
      </x:c>
      <x:c r="B1" s="2" t="str">
        <x:v>Fontes e notas</x:v>
      </x:c>
      <x:c r="C1" s="2" t="str">
        <x:v>Fontes e notas</x:v>
      </x:c>
      <x:c r="D1" s="2" t="str">
        <x:v>Fontes e notas</x:v>
      </x:c>
      <x:c r="E1" s="2" t="str">
        <x:v>Fontes e notas</x:v>
      </x:c>
      <x:c r="F1" s="2" t="str">
        <x:v>Fontes e notas</x:v>
      </x:c>
    </x:row>
    <x:row r="2">
      <x:c r="A2" s="26"/>
      <x:c r="B2" s="26"/>
      <x:c r="C2" s="26"/>
      <x:c r="D2" s="26"/>
      <x:c r="E2" s="26"/>
      <x:c r="F2" s="26"/>
    </x:row>
    <x:row r="3">
      <x:c r="A3" s="12" t="str">
        <x:v>Item</x:v>
      </x:c>
      <x:c r="B3" s="12" t="str">
        <x:v>Valor usado</x:v>
      </x:c>
      <x:c r="C3" s="12" t="str">
        <x:v>Fonte</x:v>
      </x:c>
      <x:c r="D3" s="12" t="str">
        <x:v>URL</x:v>
      </x:c>
      <x:c r="E3" s="12" t="str">
        <x:v>Acesso</x:v>
      </x:c>
      <x:c r="F3" s="12" t="str">
        <x:v>Nota</x:v>
      </x:c>
    </x:row>
    <x:row r="4">
      <x:c r="A4" s="24" t="str">
        <x:v>Domínio .com.br</x:v>
      </x:c>
      <x:c r="B4" s="24" t="str">
        <x:v>R$ 40/ano</x:v>
      </x:c>
      <x:c r="C4" s="24" t="str">
        <x:v>Registro.br</x:v>
      </x:c>
      <x:c r="D4" s="25" t="str">
        <x:v>https://registro.br/dominio/regras/</x:v>
      </x:c>
      <x:c r="E4" s="24" t="str">
        <x:v>2026-08-17</x:v>
      </x:c>
      <x:c r="F4" s="24" t="str">
        <x:v>Preço de manutenção informado pelo Registro.br</x:v>
      </x:c>
    </x:row>
    <x:row r="5">
      <x:c r="A5" s="24" t="str">
        <x:v>Supabase Free</x:v>
      </x:c>
      <x:c r="B5" s="24" t="str">
        <x:v>R$ 0/mês</x:v>
      </x:c>
      <x:c r="C5" s="24" t="str">
        <x:v>Supabase Pricing</x:v>
      </x:c>
      <x:c r="D5" s="25" t="str">
        <x:v>https://supabase.com/pricing</x:v>
      </x:c>
      <x:c r="E5" s="24" t="str">
        <x:v>2026-08-17</x:v>
      </x:c>
      <x:c r="F5" s="24" t="str">
        <x:v>500 MB banco, 1 GB storage; pausa por inatividade</x:v>
      </x:c>
    </x:row>
    <x:row r="6">
      <x:c r="A6" s="24" t="str">
        <x:v>Cloudflare Pages</x:v>
      </x:c>
      <x:c r="B6" s="24" t="str">
        <x:v>R$ 0/mês</x:v>
      </x:c>
      <x:c r="C6" s="24" t="str">
        <x:v>Cloudflare Pages</x:v>
      </x:c>
      <x:c r="D6" s="25" t="str">
        <x:v>https://developers.cloudflare.com/pages/functions/pricing/</x:v>
      </x:c>
      <x:c r="E6" s="24" t="str">
        <x:v>2026-08-17</x:v>
      </x:c>
      <x:c r="F6" s="24" t="str">
        <x:v>Ativos estáticos gratuitos; Functions têm limite Free</x:v>
      </x:c>
    </x:row>
    <x:row r="7">
      <x:c r="A7" s="24" t="str">
        <x:v>Comissão automotiva</x:v>
      </x:c>
      <x:c r="B7" s="24" t="str">
        <x:v>7%</x:v>
      </x:c>
      <x:c r="C7" s="24" t="str">
        <x:v>Amazon Associados</x:v>
      </x:c>
      <x:c r="D7" s="25" t="str">
        <x:v>https://associados.amazon.com.br/help/node/topic/GRXPHT8U84RAYDXZ</x:v>
      </x:c>
      <x:c r="E7" s="24" t="str">
        <x:v>2026-08-17</x:v>
      </x:c>
      <x:c r="F7" s="24" t="str">
        <x:v>Referência para cenário; parceiros variam</x:v>
      </x:c>
    </x:row>
    <x:row r="8">
      <x:c r="A8" s="24" t="str">
        <x:v>Influenciadores</x:v>
      </x:c>
      <x:c r="B8" s="24" t="str">
        <x:v>R$ 900/mês</x:v>
      </x:c>
      <x:c r="C8" s="24" t="str">
        <x:v>Assunção do modelo</x:v>
      </x:c>
      <x:c r="D8" s="25" t="str">
        <x:v>N/A</x:v>
      </x:c>
      <x:c r="E8" s="24" t="str">
        <x:v>2026-08-17</x:v>
      </x:c>
      <x:c r="F8" s="24" t="str">
        <x:v>Três microinfluenciadores; confirmar por proposta</x:v>
      </x:c>
    </x:row>
  </x:sheetData>
  <x:mergeCells>
    <x:mergeCell ref="A1:F1"/>
  </x:mergeCells>
  <x:pageMargins left="0.7" right="0.7" top="0.75" bottom="0.75" header="0.3" footer="0.3"/>
</x:worksheet>
</file>